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gd.prj\addons\cvs2res\csv\"/>
    </mc:Choice>
  </mc:AlternateContent>
  <xr:revisionPtr revIDLastSave="0" documentId="13_ncr:1_{47C53D25-D36A-43C9-9E85-4751D2A55702}" xr6:coauthVersionLast="47" xr6:coauthVersionMax="47" xr10:uidLastSave="{00000000-0000-0000-0000-000000000000}"/>
  <bookViews>
    <workbookView xWindow="-108" yWindow="-108" windowWidth="30936" windowHeight="16776" xr2:uid="{A7A6E871-EDC3-46F7-B53F-3FCDE192AD96}"/>
  </bookViews>
  <sheets>
    <sheet name="combat_buf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D2" i="1"/>
  <c r="E2" i="1"/>
  <c r="D3" i="1"/>
  <c r="E3" i="1"/>
  <c r="D4" i="1"/>
  <c r="E4" i="1"/>
</calcChain>
</file>

<file path=xl/sharedStrings.xml><?xml version="1.0" encoding="utf-8"?>
<sst xmlns="http://schemas.openxmlformats.org/spreadsheetml/2006/main" count="42" uniqueCount="40">
  <si>
    <t>item_id</t>
    <phoneticPr fontId="1" type="noConversion"/>
  </si>
  <si>
    <t>private_name</t>
    <phoneticPr fontId="1" type="noConversion"/>
  </si>
  <si>
    <t>nickname</t>
    <phoneticPr fontId="1" type="noConversion"/>
  </si>
  <si>
    <t>descrip</t>
    <phoneticPr fontId="1" type="noConversion"/>
  </si>
  <si>
    <t>icon</t>
    <phoneticPr fontId="1" type="noConversion"/>
  </si>
  <si>
    <t>false</t>
    <phoneticPr fontId="1" type="noConversion"/>
  </si>
  <si>
    <t>列1</t>
  </si>
  <si>
    <t>列2</t>
  </si>
  <si>
    <t>列3</t>
  </si>
  <si>
    <t>列4</t>
  </si>
  <si>
    <t>列5</t>
  </si>
  <si>
    <t>effect_type</t>
    <phoneticPr fontId="1" type="noConversion"/>
  </si>
  <si>
    <t>target_attribute</t>
    <phoneticPr fontId="1" type="noConversion"/>
  </si>
  <si>
    <t>modifier_type</t>
    <phoneticPr fontId="1" type="noConversion"/>
  </si>
  <si>
    <t>strength_value</t>
    <phoneticPr fontId="1" type="noConversion"/>
  </si>
  <si>
    <t>scale_with_skill_level</t>
  </si>
  <si>
    <t>POISON</t>
  </si>
  <si>
    <t>PERCENTAGE</t>
  </si>
  <si>
    <t>FREEZE</t>
  </si>
  <si>
    <t>BLEED</t>
  </si>
  <si>
    <t>NONE</t>
  </si>
  <si>
    <t>damage_type</t>
    <phoneticPr fontId="1" type="noConversion"/>
  </si>
  <si>
    <t>NORMAL</t>
  </si>
  <si>
    <t>IGNORE_ARMOR</t>
  </si>
  <si>
    <t>TRUE_DAMAGE</t>
  </si>
  <si>
    <t>FLAT</t>
  </si>
  <si>
    <t>hit_points</t>
  </si>
  <si>
    <t>hit_points</t>
    <phoneticPr fontId="1" type="noConversion"/>
  </si>
  <si>
    <t>max_stacks</t>
    <phoneticPr fontId="1" type="noConversion"/>
  </si>
  <si>
    <t>stack_decay_per_turn</t>
    <phoneticPr fontId="1" type="noConversion"/>
  </si>
  <si>
    <t>save_name</t>
    <phoneticPr fontId="1" type="noConversion"/>
  </si>
  <si>
    <t>freeze</t>
    <phoneticPr fontId="1" type="noConversion"/>
  </si>
  <si>
    <t>bleed</t>
    <phoneticPr fontId="1" type="noConversion"/>
  </si>
  <si>
    <t>poison</t>
    <phoneticPr fontId="1" type="noConversion"/>
  </si>
  <si>
    <t>b151</t>
    <phoneticPr fontId="1" type="noConversion"/>
  </si>
  <si>
    <t>b152</t>
    <phoneticPr fontId="1" type="noConversion"/>
  </si>
  <si>
    <t>b153</t>
    <phoneticPr fontId="1" type="noConversion"/>
  </si>
  <si>
    <t>res://assets/stats.png:0,0,32,32</t>
    <phoneticPr fontId="1" type="noConversion"/>
  </si>
  <si>
    <t>res://assets/stats.png:32,0,32,32</t>
    <phoneticPr fontId="1" type="noConversion"/>
  </si>
  <si>
    <t>res://assets/stats.png:64,0,32,32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</si>
</sst>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9" fontId="0" fillId="0" borderId="0" xfId="0" applyNumberFormat="1" applyFill="1">
      <alignment vertical="center"/>
    </xf>
  </cellXfs>
  <cellStyles count="1">
    <cellStyle name="常规" xfId="0" builtinId="0"/>
  </cellStyles>
  <dxfs count="21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76" formatCode="0.0_ 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9F279-B12C-4F07-A1C1-7FC5A8704950}" name="表1" displayName="表1" ref="A1:S1047949" totalsRowShown="0" headerRowDxfId="20" dataDxfId="19">
  <autoFilter ref="A1:S1047949" xr:uid="{B809F279-B12C-4F07-A1C1-7FC5A8704950}"/>
  <tableColumns count="19">
    <tableColumn id="1" xr3:uid="{1FF5915F-8688-42C4-818B-F1732EC738F5}" name="item_id" dataDxfId="18"/>
    <tableColumn id="2" xr3:uid="{89CD0C7D-85BC-4104-9441-881A7495C2C3}" name="private_name" dataDxfId="17"/>
    <tableColumn id="4" xr3:uid="{A9AEF65E-2D1D-4C53-8038-60AAA750EF1E}" name="save_name" dataDxfId="16">
      <calculatedColumnFormula>TEXT(A2,"000") &amp; TEXT(B2,"")</calculatedColumnFormula>
    </tableColumn>
    <tableColumn id="10" xr3:uid="{1ACB2B67-D69B-4989-AA74-45F7DE1545DF}" name="nickname" dataDxfId="15"/>
    <tableColumn id="11" xr3:uid="{C94A73D5-3F3D-4590-81C3-C3EB280B17FB}" name="descrip" dataDxfId="14"/>
    <tableColumn id="15" xr3:uid="{7C790A31-F1D8-4D78-AA62-B6D272DEE34E}" name="icon" dataDxfId="13"/>
    <tableColumn id="16" xr3:uid="{F277808F-8869-4B01-8F69-61722FB11AA2}" name="effect_type" dataDxfId="12"/>
    <tableColumn id="17" xr3:uid="{7CE2697A-B2B4-476F-B343-24165BFF1E10}" name="max_stacks" dataDxfId="11"/>
    <tableColumn id="18" xr3:uid="{EB59FAFF-41CF-4596-A13D-E187BC5528B9}" name="stack_decay_per_turn" dataDxfId="10"/>
    <tableColumn id="90" xr3:uid="{A6AED1F2-55FD-46A7-83E7-1616C47C689A}" name="target_attribute" dataDxfId="9"/>
    <tableColumn id="19" xr3:uid="{E3BFFAEA-2E27-49F0-8229-1003B722C0CE}" name="modifier_type" dataDxfId="8"/>
    <tableColumn id="20" xr3:uid="{DC9DA14F-B8CF-408C-B9BD-44074D8E886B}" name="strength_value" dataDxfId="7"/>
    <tableColumn id="3" xr3:uid="{AE54D034-3127-4FF6-83B9-1A3C8814B51F}" name="damage_type" dataDxfId="6"/>
    <tableColumn id="23" xr3:uid="{17633437-4D5C-4622-BA77-D063AF8A5F6A}" name="scale_with_skill_level" dataDxfId="5"/>
    <tableColumn id="40" xr3:uid="{50DF1DB6-8DA4-4456-9629-D3FD13C6D304}" name="列1" dataDxfId="4"/>
    <tableColumn id="41" xr3:uid="{534E6F4A-9243-4758-B9EA-18CCAF4F8E9E}" name="列2" dataDxfId="3"/>
    <tableColumn id="42" xr3:uid="{E7EB5BBC-A699-46BC-8B35-0F90C0CAF0D3}" name="列3" dataDxfId="2"/>
    <tableColumn id="43" xr3:uid="{29821B1C-A5A1-4EDB-A925-1FDD2A8EF140}" name="列4" dataDxfId="1"/>
    <tableColumn id="44" xr3:uid="{E225101B-78A2-4E9E-B38E-D317D8AFB2D4}" name="列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6119-33BF-42E8-870C-650F0702C99A}">
  <dimension ref="A1:S4"/>
  <sheetViews>
    <sheetView tabSelected="1" zoomScaleNormal="100" zoomScaleSheetLayoutView="100" workbookViewId="0">
      <selection activeCell="F29" sqref="F29"/>
    </sheetView>
  </sheetViews>
  <sheetFormatPr defaultRowHeight="13.8" x14ac:dyDescent="0.25"/>
  <cols>
    <col min="1" max="1" width="9.6640625" style="3" customWidth="1"/>
    <col min="2" max="2" width="11.77734375" style="3" customWidth="1"/>
    <col min="3" max="3" width="17.109375" style="3" customWidth="1"/>
    <col min="4" max="4" width="13.33203125" style="3" customWidth="1"/>
    <col min="5" max="5" width="16.33203125" style="3" customWidth="1"/>
    <col min="6" max="6" width="32.5546875" style="3" customWidth="1"/>
    <col min="7" max="7" width="17.33203125" style="3" customWidth="1"/>
    <col min="8" max="8" width="14.77734375" style="6" customWidth="1"/>
    <col min="9" max="9" width="18.6640625" style="3" customWidth="1"/>
    <col min="10" max="10" width="15.88671875" style="3" customWidth="1"/>
    <col min="11" max="12" width="17.33203125" style="3" customWidth="1"/>
    <col min="13" max="13" width="24.44140625" style="3" customWidth="1"/>
    <col min="14" max="14" width="8.88671875" style="1"/>
    <col min="15" max="16384" width="8.88671875" style="3"/>
  </cols>
  <sheetData>
    <row r="1" spans="1:19" s="2" customFormat="1" x14ac:dyDescent="0.2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11</v>
      </c>
      <c r="H1" s="5" t="s">
        <v>28</v>
      </c>
      <c r="I1" s="2" t="s">
        <v>29</v>
      </c>
      <c r="J1" s="2" t="s">
        <v>12</v>
      </c>
      <c r="K1" s="2" t="s">
        <v>13</v>
      </c>
      <c r="L1" s="2" t="s">
        <v>14</v>
      </c>
      <c r="M1" s="2" t="s">
        <v>21</v>
      </c>
      <c r="N1" s="1" t="s">
        <v>15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</row>
    <row r="2" spans="1:19" x14ac:dyDescent="0.25">
      <c r="A2" s="3" t="s">
        <v>34</v>
      </c>
      <c r="B2" s="3" t="s">
        <v>31</v>
      </c>
      <c r="C2" s="3" t="str">
        <f t="shared" ref="C2:C4" si="0">TEXT(A2,"000") &amp; "_" &amp; TEXT(B2,"")</f>
        <v>b151_freeze</v>
      </c>
      <c r="D2" s="3" t="str">
        <f t="shared" ref="D2:D4" si="1">TEXT(A2, "000") &amp; "_title"</f>
        <v>b151_title</v>
      </c>
      <c r="E2" s="3" t="str">
        <f t="shared" ref="E2:E4" si="2">TEXT(A2, "000") &amp; "_descp"</f>
        <v>b151_descp</v>
      </c>
      <c r="F2" s="3" t="s">
        <v>37</v>
      </c>
      <c r="G2" s="3" t="s">
        <v>18</v>
      </c>
      <c r="H2" s="6">
        <v>1</v>
      </c>
      <c r="I2" s="3">
        <v>0</v>
      </c>
      <c r="K2" s="3" t="s">
        <v>20</v>
      </c>
      <c r="M2" s="3" t="s">
        <v>22</v>
      </c>
      <c r="N2" s="1" t="s">
        <v>5</v>
      </c>
    </row>
    <row r="3" spans="1:19" x14ac:dyDescent="0.25">
      <c r="A3" s="3" t="s">
        <v>35</v>
      </c>
      <c r="B3" s="3" t="s">
        <v>32</v>
      </c>
      <c r="C3" s="3" t="str">
        <f t="shared" si="0"/>
        <v>b152_bleed</v>
      </c>
      <c r="D3" s="3" t="str">
        <f t="shared" si="1"/>
        <v>b152_title</v>
      </c>
      <c r="E3" s="3" t="str">
        <f t="shared" si="2"/>
        <v>b152_descp</v>
      </c>
      <c r="F3" s="3" t="s">
        <v>38</v>
      </c>
      <c r="G3" s="3" t="s">
        <v>19</v>
      </c>
      <c r="H3" s="6">
        <v>1</v>
      </c>
      <c r="I3" s="3">
        <v>1</v>
      </c>
      <c r="J3" s="3" t="s">
        <v>27</v>
      </c>
      <c r="K3" s="3" t="s">
        <v>17</v>
      </c>
      <c r="L3" s="7">
        <v>0.01</v>
      </c>
      <c r="M3" s="3" t="s">
        <v>24</v>
      </c>
      <c r="N3" s="1" t="s">
        <v>5</v>
      </c>
    </row>
    <row r="4" spans="1:19" x14ac:dyDescent="0.25">
      <c r="A4" s="3" t="s">
        <v>36</v>
      </c>
      <c r="B4" s="4" t="s">
        <v>33</v>
      </c>
      <c r="C4" s="3" t="str">
        <f t="shared" si="0"/>
        <v>b153_poison</v>
      </c>
      <c r="D4" s="3" t="str">
        <f t="shared" si="1"/>
        <v>b153_title</v>
      </c>
      <c r="E4" s="3" t="str">
        <f t="shared" si="2"/>
        <v>b153_descp</v>
      </c>
      <c r="F4" s="3" t="s">
        <v>39</v>
      </c>
      <c r="G4" s="3" t="s">
        <v>16</v>
      </c>
      <c r="H4" s="6">
        <v>1</v>
      </c>
      <c r="I4" s="3">
        <v>1</v>
      </c>
      <c r="J4" s="3" t="s">
        <v>26</v>
      </c>
      <c r="K4" s="3" t="s">
        <v>25</v>
      </c>
      <c r="L4" s="3">
        <v>10</v>
      </c>
      <c r="M4" s="3" t="s">
        <v>23</v>
      </c>
      <c r="N4" s="1" t="s">
        <v>5</v>
      </c>
    </row>
  </sheetData>
  <phoneticPr fontId="1" type="noConversion"/>
  <dataValidations count="3">
    <dataValidation type="list" allowBlank="1" showInputMessage="1" showErrorMessage="1" sqref="G2:G4" xr:uid="{2D296396-C63C-4804-A7E8-DB18E139F208}">
      <formula1>"STUN,FREEZE,BLEED,POISON,BURN,VULNERABLE,WEAK,ARMOR_BREAK,REGEN,SHIELD,STAT_MODIFIER,"</formula1>
    </dataValidation>
    <dataValidation type="list" allowBlank="1" showInputMessage="1" showErrorMessage="1" sqref="K2:K4" xr:uid="{CF7C7667-184C-479D-9C0C-9D17671D3983}">
      <formula1>"NONE,FLAT,PERCENTAGE,"</formula1>
    </dataValidation>
    <dataValidation type="list" allowBlank="1" showInputMessage="1" showErrorMessage="1" sqref="M2:M4" xr:uid="{BB957FE8-88BC-46CD-BD2C-2C608C6D996F}">
      <formula1>"NORMAL,IGNORE_ARMOR,TRUE_DAMAGE,"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combat_buffs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2026-02-11T02:22:28Z</dcterms:created>
  <dcterms:modified xsi:type="dcterms:W3CDTF">2026-04-16T06:25:42Z</dcterms:modified>
</cp:coreProperties>
</file>